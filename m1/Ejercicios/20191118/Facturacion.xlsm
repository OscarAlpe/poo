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scar\Documents\poo\m1\Ejercicios\20191118\"/>
    </mc:Choice>
  </mc:AlternateContent>
  <bookViews>
    <workbookView xWindow="0" yWindow="0" windowWidth="28800" windowHeight="12330" activeTab="2"/>
  </bookViews>
  <sheets>
    <sheet name="Productos" sheetId="3" r:id="rId1"/>
    <sheet name="Clientes" sheetId="5" r:id="rId2"/>
    <sheet name="Consulta" sheetId="6" r:id="rId3"/>
    <sheet name="Albarán" sheetId="7" r:id="rId4"/>
    <sheet name="Factura" sheetId="8" r:id="rId5"/>
  </sheets>
  <definedNames>
    <definedName name="Clientes">Clientes!$A$1:$F$7</definedName>
    <definedName name="Productos">Productos!$A$1:$C$18</definedName>
  </definedNames>
  <calcPr calcId="162913"/>
</workbook>
</file>

<file path=xl/calcChain.xml><?xml version="1.0" encoding="utf-8"?>
<calcChain xmlns="http://schemas.openxmlformats.org/spreadsheetml/2006/main">
  <c r="C17" i="6" l="1"/>
  <c r="C16" i="6"/>
  <c r="C15" i="6"/>
  <c r="C14" i="6"/>
  <c r="C13" i="6"/>
  <c r="C12" i="6"/>
  <c r="C7" i="6"/>
  <c r="C6" i="6"/>
  <c r="C5" i="6"/>
  <c r="D31" i="8"/>
  <c r="E14" i="8"/>
  <c r="E15" i="8"/>
  <c r="E16" i="8"/>
  <c r="E17" i="8"/>
  <c r="E18" i="8"/>
  <c r="E19" i="8"/>
  <c r="E20" i="8"/>
  <c r="E21" i="8"/>
  <c r="E22" i="8"/>
  <c r="E23" i="8"/>
  <c r="E13" i="8"/>
  <c r="D15" i="8"/>
  <c r="D16" i="8"/>
  <c r="D20" i="8"/>
  <c r="B14" i="8"/>
  <c r="B15" i="8"/>
  <c r="B16" i="8"/>
  <c r="B17" i="8"/>
  <c r="B18" i="8"/>
  <c r="B19" i="8"/>
  <c r="B20" i="8"/>
  <c r="B21" i="8"/>
  <c r="B22" i="8"/>
  <c r="B23" i="8"/>
  <c r="B13" i="8"/>
  <c r="C15" i="8"/>
  <c r="C16" i="8"/>
  <c r="C19" i="8"/>
  <c r="C21" i="8"/>
  <c r="C22" i="8"/>
  <c r="C23" i="8"/>
  <c r="C13" i="8"/>
  <c r="C10" i="8"/>
  <c r="C9" i="8"/>
  <c r="C8" i="8"/>
  <c r="C7" i="8"/>
  <c r="D8" i="7"/>
  <c r="D14" i="8" s="1"/>
  <c r="F14" i="8" s="1"/>
  <c r="D9" i="7"/>
  <c r="D10" i="7"/>
  <c r="D11" i="7"/>
  <c r="D17" i="8" s="1"/>
  <c r="D12" i="7"/>
  <c r="D18" i="8" s="1"/>
  <c r="D13" i="7"/>
  <c r="D19" i="8" s="1"/>
  <c r="F19" i="8" s="1"/>
  <c r="D14" i="7"/>
  <c r="D15" i="7"/>
  <c r="D21" i="8" s="1"/>
  <c r="F21" i="8" s="1"/>
  <c r="D16" i="7"/>
  <c r="D22" i="8" s="1"/>
  <c r="D17" i="7"/>
  <c r="D23" i="8" s="1"/>
  <c r="F23" i="8" s="1"/>
  <c r="D7" i="7"/>
  <c r="D13" i="8" s="1"/>
  <c r="F13" i="8" s="1"/>
  <c r="C8" i="7"/>
  <c r="C14" i="8" s="1"/>
  <c r="C9" i="7"/>
  <c r="C10" i="7"/>
  <c r="C11" i="7"/>
  <c r="C17" i="8" s="1"/>
  <c r="C12" i="7"/>
  <c r="C18" i="8" s="1"/>
  <c r="C13" i="7"/>
  <c r="C14" i="7"/>
  <c r="C20" i="8" s="1"/>
  <c r="C15" i="7"/>
  <c r="C16" i="7"/>
  <c r="C17" i="7"/>
  <c r="C7" i="7"/>
  <c r="C3" i="7"/>
  <c r="B32" i="8" s="1"/>
  <c r="F22" i="8" l="1"/>
  <c r="F20" i="8"/>
  <c r="F18" i="8"/>
  <c r="F17" i="8"/>
  <c r="F16" i="8"/>
  <c r="F15" i="8"/>
  <c r="F25" i="8" l="1"/>
  <c r="F26" i="8" l="1"/>
  <c r="F28" i="8" s="1"/>
</calcChain>
</file>

<file path=xl/sharedStrings.xml><?xml version="1.0" encoding="utf-8"?>
<sst xmlns="http://schemas.openxmlformats.org/spreadsheetml/2006/main" count="98" uniqueCount="83">
  <si>
    <t>Codigo Artículo</t>
  </si>
  <si>
    <t>Descripción</t>
  </si>
  <si>
    <t>Precio</t>
  </si>
  <si>
    <t>Packard Bell SPIRIT II 9800</t>
  </si>
  <si>
    <t>Módem Blaster Externo 56k</t>
  </si>
  <si>
    <t>Reposamuñecas Boeder</t>
  </si>
  <si>
    <t>Altavoces PC 200w Creative</t>
  </si>
  <si>
    <t>DVD Rom 12x Encore+Dxr3 Con Creative</t>
  </si>
  <si>
    <t>SCANJET 5370C HP</t>
  </si>
  <si>
    <t>Escaner SCANJET 3300 HP</t>
  </si>
  <si>
    <t>Epson Perfection 610</t>
  </si>
  <si>
    <t>Epson Perfection 124u Photo Edición
Especial</t>
  </si>
  <si>
    <t>Compacq Presario 1400 XI352 Celeron 
600 Mhz</t>
  </si>
  <si>
    <t>iMac DV Special Edition a 500 Mhz.</t>
  </si>
  <si>
    <t>Toshiba Equium 3300 Intel Pentium III</t>
  </si>
  <si>
    <t>Acer Travelmate 739 TLV</t>
  </si>
  <si>
    <t>Regrabadora CD 8x4x32</t>
  </si>
  <si>
    <t>Lexmark Z 32 Inyección tinta</t>
  </si>
  <si>
    <t>Ratón boeder 205</t>
  </si>
  <si>
    <t>Cable Impresora bidireccional</t>
  </si>
  <si>
    <t>Nombre</t>
  </si>
  <si>
    <t>Apellidos</t>
  </si>
  <si>
    <t>Dirección</t>
  </si>
  <si>
    <t>Población</t>
  </si>
  <si>
    <t>DNI</t>
  </si>
  <si>
    <t xml:space="preserve">Federico </t>
  </si>
  <si>
    <t>Trillo Trillo</t>
  </si>
  <si>
    <t>Albacete</t>
  </si>
  <si>
    <t>María Jose</t>
  </si>
  <si>
    <t>Aznar Gote</t>
  </si>
  <si>
    <t>54545454-R</t>
  </si>
  <si>
    <t>13141516-K</t>
  </si>
  <si>
    <t>Valladolid</t>
  </si>
  <si>
    <t>Juan</t>
  </si>
  <si>
    <t>Cuesta Perez</t>
  </si>
  <si>
    <t>14141414-T</t>
  </si>
  <si>
    <t>Madrid</t>
  </si>
  <si>
    <t>Código cliente</t>
  </si>
  <si>
    <t>C01</t>
  </si>
  <si>
    <t>C02</t>
  </si>
  <si>
    <t>C03</t>
  </si>
  <si>
    <t>C04</t>
  </si>
  <si>
    <t>C05</t>
  </si>
  <si>
    <t>C06</t>
  </si>
  <si>
    <t>Sidgur</t>
  </si>
  <si>
    <t>Rushfeld García</t>
  </si>
  <si>
    <t>20202122-Q</t>
  </si>
  <si>
    <t>Santander</t>
  </si>
  <si>
    <t>Antonio</t>
  </si>
  <si>
    <t>Molina Sánchez</t>
  </si>
  <si>
    <t>36363636-L</t>
  </si>
  <si>
    <t>Calle Trinidad, 24</t>
  </si>
  <si>
    <t>Calle Noruega, 2</t>
  </si>
  <si>
    <t>Calle Desengaño, 76</t>
  </si>
  <si>
    <t>Calle Azores, 123</t>
  </si>
  <si>
    <t>Calle Honduras, 34</t>
  </si>
  <si>
    <t>Belén</t>
  </si>
  <si>
    <t>Zapatero Zaplana</t>
  </si>
  <si>
    <t>25252525-U</t>
  </si>
  <si>
    <t>Calle Movida, 100</t>
  </si>
  <si>
    <t>Barcelona</t>
  </si>
  <si>
    <t>CONSULTA PRODUCTOS</t>
  </si>
  <si>
    <t>Código artículo buscado</t>
  </si>
  <si>
    <t>Código artículo encontrado</t>
  </si>
  <si>
    <t>CONSULTA CLIENTES</t>
  </si>
  <si>
    <t>Código cliente buscado</t>
  </si>
  <si>
    <t>Código cliente encontrado</t>
  </si>
  <si>
    <t>Código Cliente</t>
  </si>
  <si>
    <t>Fecha</t>
  </si>
  <si>
    <t>Artículos</t>
  </si>
  <si>
    <t>Código</t>
  </si>
  <si>
    <t>Cantidad</t>
  </si>
  <si>
    <t>ALPE COMPUTER</t>
  </si>
  <si>
    <t>PASAJE DE PEÑA, 1</t>
  </si>
  <si>
    <t>SANTANDER (CANTABRIA)</t>
  </si>
  <si>
    <t>Artículo</t>
  </si>
  <si>
    <t>Total</t>
  </si>
  <si>
    <t>Subtotal</t>
  </si>
  <si>
    <t>Descuento</t>
  </si>
  <si>
    <t>IVA</t>
  </si>
  <si>
    <t>TOTAL</t>
  </si>
  <si>
    <t>Cliente:</t>
  </si>
  <si>
    <t>Nº de artículos vendidos: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</si>
</sst>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#,##0\ [$€-1];\-#,##0\ [$€-1]"/>
    <numFmt numFmtId="166" formatCode="#,##0.00\ [$€-1]"/>
    <numFmt numFmtId="168" formatCode="[$-F800]dddd\,\ mmmm\ dd\,\ yyyy"/>
  </numFmts>
  <fonts count="7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</font>
    <font>
      <b/>
      <sz val="14"/>
      <name val="Arial"/>
      <family val="2"/>
    </font>
    <font>
      <sz val="10"/>
      <name val="Arial"/>
      <family val="2"/>
    </font>
    <font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165" fontId="0" fillId="0" borderId="0" xfId="0" applyNumberFormat="1"/>
    <xf numFmtId="0" fontId="2" fillId="0" borderId="0" xfId="0" applyFont="1" applyAlignment="1">
      <alignment horizontal="center"/>
    </xf>
    <xf numFmtId="166" fontId="0" fillId="2" borderId="1" xfId="0" applyNumberFormat="1" applyFill="1" applyBorder="1"/>
    <xf numFmtId="166" fontId="0" fillId="2" borderId="2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3" xfId="0" applyFill="1" applyBorder="1" applyAlignment="1">
      <alignment wrapText="1"/>
    </xf>
    <xf numFmtId="0" fontId="2" fillId="2" borderId="5" xfId="0" applyFont="1" applyFill="1" applyBorder="1"/>
    <xf numFmtId="0" fontId="2" fillId="2" borderId="6" xfId="0" applyFont="1" applyFill="1" applyBorder="1"/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2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44" fontId="0" fillId="0" borderId="2" xfId="2" applyFont="1" applyBorder="1"/>
    <xf numFmtId="0" fontId="0" fillId="0" borderId="14" xfId="0" applyBorder="1"/>
    <xf numFmtId="0" fontId="0" fillId="0" borderId="16" xfId="0" applyBorder="1"/>
    <xf numFmtId="0" fontId="5" fillId="0" borderId="17" xfId="0" applyFont="1" applyBorder="1"/>
    <xf numFmtId="0" fontId="5" fillId="0" borderId="18" xfId="0" applyFont="1" applyBorder="1"/>
    <xf numFmtId="0" fontId="5" fillId="0" borderId="7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13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14" fontId="0" fillId="0" borderId="16" xfId="0" applyNumberFormat="1" applyBorder="1"/>
    <xf numFmtId="44" fontId="0" fillId="0" borderId="20" xfId="2" applyFont="1" applyBorder="1"/>
    <xf numFmtId="44" fontId="0" fillId="0" borderId="0" xfId="2" applyFont="1" applyBorder="1"/>
    <xf numFmtId="44" fontId="0" fillId="0" borderId="23" xfId="2" applyFont="1" applyBorder="1"/>
    <xf numFmtId="0" fontId="2" fillId="0" borderId="0" xfId="0" applyFont="1"/>
    <xf numFmtId="0" fontId="2" fillId="0" borderId="17" xfId="0" applyFont="1" applyBorder="1"/>
    <xf numFmtId="0" fontId="0" fillId="0" borderId="24" xfId="0" applyBorder="1"/>
    <xf numFmtId="0" fontId="0" fillId="0" borderId="18" xfId="0" applyBorder="1"/>
    <xf numFmtId="0" fontId="6" fillId="0" borderId="13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5" fillId="3" borderId="0" xfId="0" applyFont="1" applyFill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5" fillId="0" borderId="24" xfId="0" applyFont="1" applyBorder="1"/>
    <xf numFmtId="44" fontId="0" fillId="0" borderId="26" xfId="2" applyFont="1" applyBorder="1"/>
    <xf numFmtId="44" fontId="0" fillId="0" borderId="27" xfId="2" applyFont="1" applyBorder="1"/>
    <xf numFmtId="44" fontId="0" fillId="0" borderId="28" xfId="2" applyFont="1" applyBorder="1"/>
    <xf numFmtId="44" fontId="0" fillId="0" borderId="9" xfId="2" applyFont="1" applyBorder="1"/>
    <xf numFmtId="44" fontId="0" fillId="0" borderId="10" xfId="2" applyFont="1" applyBorder="1"/>
    <xf numFmtId="44" fontId="0" fillId="0" borderId="12" xfId="2" applyFont="1" applyBorder="1"/>
    <xf numFmtId="44" fontId="0" fillId="3" borderId="0" xfId="0" applyNumberFormat="1" applyFill="1"/>
    <xf numFmtId="9" fontId="0" fillId="3" borderId="0" xfId="3" applyFont="1" applyFill="1"/>
    <xf numFmtId="168" fontId="0" fillId="0" borderId="11" xfId="0" applyNumberFormat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0" fillId="0" borderId="31" xfId="0" applyBorder="1"/>
  </cellXfs>
  <cellStyles count="4">
    <cellStyle name="Euro" xfId="1"/>
    <cellStyle name="Moneda" xfId="2" builtinId="4"/>
    <cellStyle name="Normal" xfId="0" builtinId="0"/>
    <cellStyle name="Porcentaj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0</xdr:row>
          <xdr:rowOff>152400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3077" name="cbLimpiarConsultas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19"/>
  <sheetViews>
    <sheetView workbookViewId="0">
      <selection sqref="A1:C18"/>
    </sheetView>
  </sheetViews>
  <sheetFormatPr baseColWidth="10" defaultRowHeight="12.75" x14ac:dyDescent="0.2"/>
  <cols>
    <col min="1" max="1" width="16" customWidth="1"/>
    <col min="2" max="2" width="33.5703125" customWidth="1"/>
    <col min="3" max="3" width="12.85546875" bestFit="1" customWidth="1"/>
  </cols>
  <sheetData>
    <row r="1" spans="1:4" ht="14.25" thickTop="1" thickBot="1" x14ac:dyDescent="0.25">
      <c r="A1" s="8" t="s">
        <v>0</v>
      </c>
      <c r="B1" s="8" t="s">
        <v>1</v>
      </c>
      <c r="C1" s="9" t="s">
        <v>2</v>
      </c>
    </row>
    <row r="2" spans="1:4" ht="13.5" thickTop="1" x14ac:dyDescent="0.2">
      <c r="A2" s="5">
        <v>101</v>
      </c>
      <c r="B2" s="5" t="s">
        <v>3</v>
      </c>
      <c r="C2" s="3">
        <v>2797.6812953012873</v>
      </c>
      <c r="D2" s="1"/>
    </row>
    <row r="3" spans="1:4" x14ac:dyDescent="0.2">
      <c r="A3" s="5">
        <v>102</v>
      </c>
      <c r="B3" s="5" t="s">
        <v>4</v>
      </c>
      <c r="C3" s="3">
        <v>84.081593403291151</v>
      </c>
      <c r="D3" s="1"/>
    </row>
    <row r="4" spans="1:4" x14ac:dyDescent="0.2">
      <c r="A4" s="5">
        <v>103</v>
      </c>
      <c r="B4" s="5" t="s">
        <v>5</v>
      </c>
      <c r="C4" s="3">
        <v>3.1192528217518301</v>
      </c>
      <c r="D4" s="1"/>
    </row>
    <row r="5" spans="1:4" x14ac:dyDescent="0.2">
      <c r="A5" s="5">
        <v>104</v>
      </c>
      <c r="B5" s="5" t="s">
        <v>6</v>
      </c>
      <c r="C5" s="3">
        <v>29.449593114805332</v>
      </c>
      <c r="D5" s="1"/>
    </row>
    <row r="6" spans="1:4" x14ac:dyDescent="0.2">
      <c r="A6" s="5">
        <v>105</v>
      </c>
      <c r="B6" s="5" t="s">
        <v>7</v>
      </c>
      <c r="C6" s="3">
        <v>267.45038645078313</v>
      </c>
      <c r="D6" s="1"/>
    </row>
    <row r="7" spans="1:4" x14ac:dyDescent="0.2">
      <c r="A7" s="5">
        <v>106</v>
      </c>
      <c r="B7" s="5" t="s">
        <v>8</v>
      </c>
      <c r="C7" s="3">
        <v>306.51617323572896</v>
      </c>
      <c r="D7" s="1"/>
    </row>
    <row r="8" spans="1:4" x14ac:dyDescent="0.2">
      <c r="A8" s="5">
        <v>107</v>
      </c>
      <c r="B8" s="5" t="s">
        <v>9</v>
      </c>
      <c r="C8" s="3">
        <v>83.540682509345743</v>
      </c>
      <c r="D8" s="1"/>
    </row>
    <row r="9" spans="1:4" x14ac:dyDescent="0.2">
      <c r="A9" s="5">
        <v>108</v>
      </c>
      <c r="B9" s="5" t="s">
        <v>10</v>
      </c>
      <c r="C9" s="3">
        <v>109.56450662916352</v>
      </c>
      <c r="D9" s="1"/>
    </row>
    <row r="10" spans="1:4" ht="25.5" x14ac:dyDescent="0.2">
      <c r="A10" s="5">
        <v>109</v>
      </c>
      <c r="B10" s="7" t="s">
        <v>11</v>
      </c>
      <c r="C10" s="3">
        <v>333.56171793299916</v>
      </c>
      <c r="D10" s="1"/>
    </row>
    <row r="11" spans="1:4" ht="25.5" x14ac:dyDescent="0.2">
      <c r="A11" s="5">
        <v>110</v>
      </c>
      <c r="B11" s="7" t="s">
        <v>12</v>
      </c>
      <c r="C11" s="3">
        <v>2132.9919584580434</v>
      </c>
      <c r="D11" s="1"/>
    </row>
    <row r="12" spans="1:4" x14ac:dyDescent="0.2">
      <c r="A12" s="5">
        <v>111</v>
      </c>
      <c r="B12" s="5" t="s">
        <v>13</v>
      </c>
      <c r="C12" s="3">
        <v>1472.4796557402667</v>
      </c>
      <c r="D12" s="1"/>
    </row>
    <row r="13" spans="1:4" x14ac:dyDescent="0.2">
      <c r="A13" s="5">
        <v>112</v>
      </c>
      <c r="B13" s="5" t="s">
        <v>14</v>
      </c>
      <c r="C13" s="3">
        <v>1291.5750123207481</v>
      </c>
      <c r="D13" s="1"/>
    </row>
    <row r="14" spans="1:4" x14ac:dyDescent="0.2">
      <c r="A14" s="5">
        <v>113</v>
      </c>
      <c r="B14" s="5" t="s">
        <v>15</v>
      </c>
      <c r="C14" s="3">
        <v>5973.4593054704119</v>
      </c>
      <c r="D14" s="1"/>
    </row>
    <row r="15" spans="1:4" x14ac:dyDescent="0.2">
      <c r="A15" s="5">
        <v>114</v>
      </c>
      <c r="B15" s="5" t="s">
        <v>16</v>
      </c>
      <c r="C15" s="3">
        <v>179.7026192107509</v>
      </c>
      <c r="D15" s="1"/>
    </row>
    <row r="16" spans="1:4" x14ac:dyDescent="0.2">
      <c r="A16" s="5">
        <v>115</v>
      </c>
      <c r="B16" s="5" t="s">
        <v>17</v>
      </c>
      <c r="C16" s="3">
        <v>107.58116668469704</v>
      </c>
      <c r="D16" s="1"/>
    </row>
    <row r="17" spans="1:4" x14ac:dyDescent="0.2">
      <c r="A17" s="5">
        <v>116</v>
      </c>
      <c r="B17" s="5" t="s">
        <v>18</v>
      </c>
      <c r="C17" s="3">
        <v>9.015181565756734</v>
      </c>
      <c r="D17" s="1"/>
    </row>
    <row r="18" spans="1:4" ht="13.5" thickBot="1" x14ac:dyDescent="0.25">
      <c r="A18" s="6">
        <v>117</v>
      </c>
      <c r="B18" s="6" t="s">
        <v>19</v>
      </c>
      <c r="C18" s="4">
        <v>7.2121452526053877</v>
      </c>
      <c r="D18" s="1"/>
    </row>
    <row r="19" spans="1:4" ht="13.5" thickTop="1" x14ac:dyDescent="0.2"/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8"/>
  <sheetViews>
    <sheetView workbookViewId="0">
      <selection activeCell="B29" sqref="B29"/>
    </sheetView>
  </sheetViews>
  <sheetFormatPr baseColWidth="10" defaultRowHeight="12.75" x14ac:dyDescent="0.2"/>
  <cols>
    <col min="1" max="1" width="16.7109375" customWidth="1"/>
    <col min="2" max="2" width="13.28515625" customWidth="1"/>
    <col min="3" max="3" width="18.28515625" customWidth="1"/>
    <col min="4" max="4" width="14.85546875" customWidth="1"/>
    <col min="5" max="5" width="28.42578125" customWidth="1"/>
    <col min="6" max="6" width="14" customWidth="1"/>
  </cols>
  <sheetData>
    <row r="1" spans="1:7" ht="14.25" thickTop="1" thickBot="1" x14ac:dyDescent="0.25">
      <c r="A1" s="8" t="s">
        <v>37</v>
      </c>
      <c r="B1" s="8" t="s">
        <v>20</v>
      </c>
      <c r="C1" s="9" t="s">
        <v>21</v>
      </c>
      <c r="D1" s="8" t="s">
        <v>24</v>
      </c>
      <c r="E1" s="8" t="s">
        <v>22</v>
      </c>
      <c r="F1" s="9" t="s">
        <v>23</v>
      </c>
      <c r="G1" s="2"/>
    </row>
    <row r="2" spans="1:7" ht="13.5" thickTop="1" x14ac:dyDescent="0.2">
      <c r="A2" s="5" t="s">
        <v>38</v>
      </c>
      <c r="B2" s="5" t="s">
        <v>25</v>
      </c>
      <c r="C2" s="3" t="s">
        <v>26</v>
      </c>
      <c r="D2" s="5" t="s">
        <v>30</v>
      </c>
      <c r="E2" s="5" t="s">
        <v>55</v>
      </c>
      <c r="F2" s="3" t="s">
        <v>27</v>
      </c>
    </row>
    <row r="3" spans="1:7" x14ac:dyDescent="0.2">
      <c r="A3" s="5" t="s">
        <v>39</v>
      </c>
      <c r="B3" s="5" t="s">
        <v>28</v>
      </c>
      <c r="C3" s="3" t="s">
        <v>29</v>
      </c>
      <c r="D3" s="5" t="s">
        <v>31</v>
      </c>
      <c r="E3" s="5" t="s">
        <v>54</v>
      </c>
      <c r="F3" s="3" t="s">
        <v>32</v>
      </c>
    </row>
    <row r="4" spans="1:7" x14ac:dyDescent="0.2">
      <c r="A4" s="5" t="s">
        <v>40</v>
      </c>
      <c r="B4" s="5" t="s">
        <v>33</v>
      </c>
      <c r="C4" s="3" t="s">
        <v>34</v>
      </c>
      <c r="D4" s="5" t="s">
        <v>35</v>
      </c>
      <c r="E4" s="5" t="s">
        <v>53</v>
      </c>
      <c r="F4" s="3" t="s">
        <v>36</v>
      </c>
    </row>
    <row r="5" spans="1:7" x14ac:dyDescent="0.2">
      <c r="A5" s="5" t="s">
        <v>41</v>
      </c>
      <c r="B5" s="5" t="s">
        <v>44</v>
      </c>
      <c r="C5" s="3" t="s">
        <v>45</v>
      </c>
      <c r="D5" s="5" t="s">
        <v>46</v>
      </c>
      <c r="E5" s="5" t="s">
        <v>52</v>
      </c>
      <c r="F5" s="3" t="s">
        <v>47</v>
      </c>
    </row>
    <row r="6" spans="1:7" x14ac:dyDescent="0.2">
      <c r="A6" s="5" t="s">
        <v>42</v>
      </c>
      <c r="B6" s="5" t="s">
        <v>48</v>
      </c>
      <c r="C6" s="3" t="s">
        <v>49</v>
      </c>
      <c r="D6" s="5" t="s">
        <v>50</v>
      </c>
      <c r="E6" s="5" t="s">
        <v>51</v>
      </c>
      <c r="F6" s="3" t="s">
        <v>60</v>
      </c>
    </row>
    <row r="7" spans="1:7" ht="13.5" thickBot="1" x14ac:dyDescent="0.25">
      <c r="A7" s="6" t="s">
        <v>43</v>
      </c>
      <c r="B7" s="6" t="s">
        <v>56</v>
      </c>
      <c r="C7" s="4" t="s">
        <v>57</v>
      </c>
      <c r="D7" s="6" t="s">
        <v>58</v>
      </c>
      <c r="E7" s="6" t="s">
        <v>59</v>
      </c>
      <c r="F7" s="4" t="s">
        <v>36</v>
      </c>
    </row>
    <row r="8" spans="1:7" ht="13.5" thickTop="1" x14ac:dyDescent="0.2"/>
  </sheetData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C18"/>
  <sheetViews>
    <sheetView tabSelected="1" workbookViewId="0">
      <selection activeCell="C4" sqref="C4"/>
    </sheetView>
  </sheetViews>
  <sheetFormatPr baseColWidth="10" defaultRowHeight="12.75" x14ac:dyDescent="0.2"/>
  <cols>
    <col min="1" max="1" width="8.85546875" customWidth="1"/>
    <col min="2" max="2" width="23.28515625" bestFit="1" customWidth="1"/>
    <col min="3" max="3" width="43.140625" customWidth="1"/>
  </cols>
  <sheetData>
    <row r="1" spans="2:3" ht="13.5" thickBot="1" x14ac:dyDescent="0.25"/>
    <row r="2" spans="2:3" ht="18.75" thickBot="1" x14ac:dyDescent="0.3">
      <c r="B2" s="10" t="s">
        <v>61</v>
      </c>
      <c r="C2" s="11"/>
    </row>
    <row r="3" spans="2:3" ht="13.5" thickBot="1" x14ac:dyDescent="0.25"/>
    <row r="4" spans="2:3" ht="14.25" thickTop="1" thickBot="1" x14ac:dyDescent="0.25">
      <c r="B4" s="16" t="s">
        <v>62</v>
      </c>
      <c r="C4" s="14">
        <v>103</v>
      </c>
    </row>
    <row r="5" spans="2:3" ht="13.5" thickTop="1" x14ac:dyDescent="0.2">
      <c r="B5" s="17" t="s">
        <v>63</v>
      </c>
      <c r="C5" s="12">
        <f>IF(C4&lt;&gt;"",VLOOKUP(C4,Productos,1,0),"")</f>
        <v>103</v>
      </c>
    </row>
    <row r="6" spans="2:3" x14ac:dyDescent="0.2">
      <c r="B6" s="17" t="s">
        <v>1</v>
      </c>
      <c r="C6" s="12" t="str">
        <f>IF(C4&lt;&gt;"",VLOOKUP(C4,Productos,2,0),"")</f>
        <v>Reposamuñecas Boeder</v>
      </c>
    </row>
    <row r="7" spans="2:3" ht="13.5" thickBot="1" x14ac:dyDescent="0.25">
      <c r="B7" s="18" t="s">
        <v>2</v>
      </c>
      <c r="C7" s="19">
        <f>IF(C4&lt;&gt;"",VLOOKUP(C4,Productos,3,0),"")</f>
        <v>3.1192528217518301</v>
      </c>
    </row>
    <row r="8" spans="2:3" ht="14.25" thickTop="1" thickBot="1" x14ac:dyDescent="0.25"/>
    <row r="9" spans="2:3" ht="18.75" thickBot="1" x14ac:dyDescent="0.3">
      <c r="B9" s="10" t="s">
        <v>64</v>
      </c>
      <c r="C9" s="11"/>
    </row>
    <row r="10" spans="2:3" ht="13.5" thickBot="1" x14ac:dyDescent="0.25"/>
    <row r="11" spans="2:3" ht="14.25" thickTop="1" thickBot="1" x14ac:dyDescent="0.25">
      <c r="B11" s="16" t="s">
        <v>65</v>
      </c>
      <c r="C11" s="14" t="s">
        <v>40</v>
      </c>
    </row>
    <row r="12" spans="2:3" ht="13.5" thickTop="1" x14ac:dyDescent="0.2">
      <c r="B12" s="17" t="s">
        <v>66</v>
      </c>
      <c r="C12" s="12" t="str">
        <f>IF(C11&lt;&gt;"",VLOOKUP(C11,Clientes,1,0),"")</f>
        <v>C03</v>
      </c>
    </row>
    <row r="13" spans="2:3" x14ac:dyDescent="0.2">
      <c r="B13" s="17" t="s">
        <v>20</v>
      </c>
      <c r="C13" s="12" t="str">
        <f>IF(C11&lt;&gt;"",VLOOKUP(C11,Clientes,2,0),"")</f>
        <v>Juan</v>
      </c>
    </row>
    <row r="14" spans="2:3" x14ac:dyDescent="0.2">
      <c r="B14" s="17" t="s">
        <v>21</v>
      </c>
      <c r="C14" s="12" t="str">
        <f>IF(C11&lt;&gt;"",VLOOKUP(C11,Clientes,3,0),"")</f>
        <v>Cuesta Perez</v>
      </c>
    </row>
    <row r="15" spans="2:3" x14ac:dyDescent="0.2">
      <c r="B15" s="17" t="s">
        <v>24</v>
      </c>
      <c r="C15" s="12" t="str">
        <f>IF(C11&lt;&gt;"",VLOOKUP(C11,Clientes,4,0),"")</f>
        <v>14141414-T</v>
      </c>
    </row>
    <row r="16" spans="2:3" x14ac:dyDescent="0.2">
      <c r="B16" s="17" t="s">
        <v>22</v>
      </c>
      <c r="C16" s="12" t="str">
        <f>IF(C11&lt;&gt;"",VLOOKUP(C11,Clientes,5,0),"")</f>
        <v>Calle Desengaño, 76</v>
      </c>
    </row>
    <row r="17" spans="2:3" ht="13.5" thickBot="1" x14ac:dyDescent="0.25">
      <c r="B17" s="18" t="s">
        <v>23</v>
      </c>
      <c r="C17" s="13" t="str">
        <f>IF(C11&lt;&gt;"",VLOOKUP(C11,Clientes,6,0),"")</f>
        <v>Madrid</v>
      </c>
    </row>
    <row r="18" spans="2:3" ht="13.5" thickTop="1" x14ac:dyDescent="0.2"/>
  </sheetData>
  <mergeCells count="2">
    <mergeCell ref="B9:C9"/>
    <mergeCell ref="B2:C2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bLimpiarConsultas">
          <controlPr defaultSize="0" autoLine="0" r:id="rId5">
            <anchor moveWithCells="1">
              <from>
                <xdr:col>4</xdr:col>
                <xdr:colOff>504825</xdr:colOff>
                <xdr:row>0</xdr:row>
                <xdr:rowOff>152400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3077" r:id="rId4" name="cbLimpiarConsulta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Productos!$A$2:$A$18</xm:f>
          </x14:formula1>
          <xm:sqref>C4</xm:sqref>
        </x14:dataValidation>
        <x14:dataValidation type="list" allowBlank="1" showInputMessage="1" showErrorMessage="1">
          <x14:formula1>
            <xm:f>Clientes!$A$2:$A$7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1:E17"/>
  <sheetViews>
    <sheetView workbookViewId="0">
      <selection activeCell="E17" sqref="E17"/>
    </sheetView>
  </sheetViews>
  <sheetFormatPr baseColWidth="10" defaultRowHeight="12.75" x14ac:dyDescent="0.2"/>
  <cols>
    <col min="2" max="2" width="13" bestFit="1" customWidth="1"/>
    <col min="3" max="3" width="41.140625" customWidth="1"/>
  </cols>
  <sheetData>
    <row r="1" spans="2:5" ht="13.5" thickBot="1" x14ac:dyDescent="0.25"/>
    <row r="2" spans="2:5" x14ac:dyDescent="0.2">
      <c r="B2" s="22" t="s">
        <v>67</v>
      </c>
      <c r="C2" s="20" t="s">
        <v>40</v>
      </c>
    </row>
    <row r="3" spans="2:5" ht="13.5" thickBot="1" x14ac:dyDescent="0.25">
      <c r="B3" s="23" t="s">
        <v>68</v>
      </c>
      <c r="C3" s="37">
        <f ca="1">TODAY()</f>
        <v>43787</v>
      </c>
    </row>
    <row r="4" spans="2:5" ht="13.5" thickBot="1" x14ac:dyDescent="0.25"/>
    <row r="5" spans="2:5" ht="13.5" thickBot="1" x14ac:dyDescent="0.25">
      <c r="B5" s="24" t="s">
        <v>69</v>
      </c>
      <c r="C5" s="25"/>
      <c r="D5" s="25"/>
      <c r="E5" s="26"/>
    </row>
    <row r="6" spans="2:5" ht="13.5" thickBot="1" x14ac:dyDescent="0.25">
      <c r="B6" s="27" t="s">
        <v>70</v>
      </c>
      <c r="C6" s="28" t="s">
        <v>1</v>
      </c>
      <c r="D6" s="28" t="s">
        <v>2</v>
      </c>
      <c r="E6" s="29" t="s">
        <v>71</v>
      </c>
    </row>
    <row r="7" spans="2:5" x14ac:dyDescent="0.2">
      <c r="B7" s="30">
        <v>105</v>
      </c>
      <c r="C7" s="31" t="str">
        <f>IF(B7&lt;&gt;"",VLOOKUP(B7,Productos,2,0),"")</f>
        <v>DVD Rom 12x Encore+Dxr3 Con Creative</v>
      </c>
      <c r="D7" s="38">
        <f>IF(B7&lt;&gt;"",VLOOKUP(B7,Productos,3,0),"")</f>
        <v>267.45038645078313</v>
      </c>
      <c r="E7" s="20">
        <v>1</v>
      </c>
    </row>
    <row r="8" spans="2:5" x14ac:dyDescent="0.2">
      <c r="B8" s="32">
        <v>108</v>
      </c>
      <c r="C8" s="33" t="str">
        <f>IF(B8&lt;&gt;"",VLOOKUP(B8,Productos,2,0),"")</f>
        <v>Epson Perfection 610</v>
      </c>
      <c r="D8" s="39">
        <f>IF(B8&lt;&gt;"",VLOOKUP(B8,Productos,3,0),"")</f>
        <v>109.56450662916352</v>
      </c>
      <c r="E8" s="34">
        <v>1</v>
      </c>
    </row>
    <row r="9" spans="2:5" x14ac:dyDescent="0.2">
      <c r="B9" s="32">
        <v>110</v>
      </c>
      <c r="C9" s="33" t="str">
        <f>IF(B9&lt;&gt;"",VLOOKUP(B9,Productos,2,0),"")</f>
        <v>Compacq Presario 1400 XI352 Celeron 
600 Mhz</v>
      </c>
      <c r="D9" s="39">
        <f>IF(B9&lt;&gt;"",VLOOKUP(B9,Productos,3,0),"")</f>
        <v>2132.9919584580434</v>
      </c>
      <c r="E9" s="34">
        <v>2</v>
      </c>
    </row>
    <row r="10" spans="2:5" x14ac:dyDescent="0.2">
      <c r="B10" s="32">
        <v>103</v>
      </c>
      <c r="C10" s="33" t="str">
        <f>IF(B10&lt;&gt;"",VLOOKUP(B10,Productos,2,0),"")</f>
        <v>Reposamuñecas Boeder</v>
      </c>
      <c r="D10" s="39">
        <f>IF(B10&lt;&gt;"",VLOOKUP(B10,Productos,3,0),"")</f>
        <v>3.1192528217518301</v>
      </c>
      <c r="E10" s="34">
        <v>1</v>
      </c>
    </row>
    <row r="11" spans="2:5" x14ac:dyDescent="0.2">
      <c r="B11" s="32">
        <v>116</v>
      </c>
      <c r="C11" s="33" t="str">
        <f>IF(B11&lt;&gt;"",VLOOKUP(B11,Productos,2,0),"")</f>
        <v>Ratón boeder 205</v>
      </c>
      <c r="D11" s="39">
        <f>IF(B11&lt;&gt;"",VLOOKUP(B11,Productos,3,0),"")</f>
        <v>9.015181565756734</v>
      </c>
      <c r="E11" s="34">
        <v>2</v>
      </c>
    </row>
    <row r="12" spans="2:5" x14ac:dyDescent="0.2">
      <c r="B12" s="32">
        <v>101</v>
      </c>
      <c r="C12" s="33" t="str">
        <f>IF(B12&lt;&gt;"",VLOOKUP(B12,Productos,2,0),"")</f>
        <v>Packard Bell SPIRIT II 9800</v>
      </c>
      <c r="D12" s="39">
        <f>IF(B12&lt;&gt;"",VLOOKUP(B12,Productos,3,0),"")</f>
        <v>2797.6812953012873</v>
      </c>
      <c r="E12" s="34">
        <v>1</v>
      </c>
    </row>
    <row r="13" spans="2:5" x14ac:dyDescent="0.2">
      <c r="B13" s="32">
        <v>111</v>
      </c>
      <c r="C13" s="33" t="str">
        <f>IF(B13&lt;&gt;"",VLOOKUP(B13,Productos,2,0),"")</f>
        <v>iMac DV Special Edition a 500 Mhz.</v>
      </c>
      <c r="D13" s="39">
        <f>IF(B13&lt;&gt;"",VLOOKUP(B13,Productos,3,0),"")</f>
        <v>1472.4796557402667</v>
      </c>
      <c r="E13" s="34">
        <v>1</v>
      </c>
    </row>
    <row r="14" spans="2:5" x14ac:dyDescent="0.2">
      <c r="B14" s="32">
        <v>112</v>
      </c>
      <c r="C14" s="33" t="str">
        <f>IF(B14&lt;&gt;"",VLOOKUP(B14,Productos,2,0),"")</f>
        <v>Toshiba Equium 3300 Intel Pentium III</v>
      </c>
      <c r="D14" s="39">
        <f>IF(B14&lt;&gt;"",VLOOKUP(B14,Productos,3,0),"")</f>
        <v>1291.5750123207481</v>
      </c>
      <c r="E14" s="34">
        <v>1</v>
      </c>
    </row>
    <row r="15" spans="2:5" x14ac:dyDescent="0.2">
      <c r="B15" s="32">
        <v>115</v>
      </c>
      <c r="C15" s="33" t="str">
        <f>IF(B15&lt;&gt;"",VLOOKUP(B15,Productos,2,0),"")</f>
        <v>Lexmark Z 32 Inyección tinta</v>
      </c>
      <c r="D15" s="39">
        <f>IF(B15&lt;&gt;"",VLOOKUP(B15,Productos,3,0),"")</f>
        <v>107.58116668469704</v>
      </c>
      <c r="E15" s="34">
        <v>1</v>
      </c>
    </row>
    <row r="16" spans="2:5" x14ac:dyDescent="0.2">
      <c r="B16" s="32">
        <v>117</v>
      </c>
      <c r="C16" s="33" t="str">
        <f>IF(B16&lt;&gt;"",VLOOKUP(B16,Productos,2,0),"")</f>
        <v>Cable Impresora bidireccional</v>
      </c>
      <c r="D16" s="39">
        <f>IF(B16&lt;&gt;"",VLOOKUP(B16,Productos,3,0),"")</f>
        <v>7.2121452526053877</v>
      </c>
      <c r="E16" s="34">
        <v>3</v>
      </c>
    </row>
    <row r="17" spans="2:5" ht="13.5" thickBot="1" x14ac:dyDescent="0.25">
      <c r="B17" s="35"/>
      <c r="C17" s="36" t="str">
        <f>IF(B17&lt;&gt;"",VLOOKUP(B17,Productos,2,0),"")</f>
        <v/>
      </c>
      <c r="D17" s="40" t="str">
        <f>IF(B17&lt;&gt;"",VLOOKUP(B17,Productos,3,0),"")</f>
        <v/>
      </c>
      <c r="E17" s="21"/>
    </row>
  </sheetData>
  <mergeCells count="1">
    <mergeCell ref="B5:E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Clientes!$A$2:$A$7</xm:f>
          </x14:formula1>
          <xm:sqref>C2</xm:sqref>
        </x14:dataValidation>
        <x14:dataValidation type="list" allowBlank="1" showInputMessage="1" showErrorMessage="1">
          <x14:formula1>
            <xm:f>Productos!$A$2:$A$18</xm:f>
          </x14:formula1>
          <xm:sqref>B7:B17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1:F32"/>
  <sheetViews>
    <sheetView workbookViewId="0">
      <selection activeCell="B32" sqref="B32:C32"/>
    </sheetView>
  </sheetViews>
  <sheetFormatPr baseColWidth="10" defaultRowHeight="12.75" x14ac:dyDescent="0.2"/>
  <cols>
    <col min="3" max="3" width="39.42578125" customWidth="1"/>
    <col min="6" max="6" width="15.42578125" bestFit="1" customWidth="1"/>
  </cols>
  <sheetData>
    <row r="1" spans="2:6" ht="13.5" thickBot="1" x14ac:dyDescent="0.25"/>
    <row r="2" spans="2:6" ht="20.25" x14ac:dyDescent="0.3">
      <c r="B2" s="45" t="s">
        <v>72</v>
      </c>
      <c r="C2" s="46"/>
      <c r="D2" s="46"/>
      <c r="E2" s="47"/>
    </row>
    <row r="3" spans="2:6" ht="20.25" x14ac:dyDescent="0.3">
      <c r="B3" s="48" t="s">
        <v>73</v>
      </c>
      <c r="C3" s="49"/>
      <c r="D3" s="49"/>
      <c r="E3" s="50"/>
    </row>
    <row r="4" spans="2:6" ht="21" thickBot="1" x14ac:dyDescent="0.35">
      <c r="B4" s="51" t="s">
        <v>74</v>
      </c>
      <c r="C4" s="52"/>
      <c r="D4" s="52"/>
      <c r="E4" s="53"/>
    </row>
    <row r="5" spans="2:6" ht="13.5" thickBot="1" x14ac:dyDescent="0.25"/>
    <row r="6" spans="2:6" x14ac:dyDescent="0.2">
      <c r="C6" s="42" t="s">
        <v>81</v>
      </c>
    </row>
    <row r="7" spans="2:6" x14ac:dyDescent="0.2">
      <c r="C7" s="43" t="str">
        <f>VLOOKUP(Albarán!C2,Clientes,2,0)&amp;" "&amp;VLOOKUP(Albarán!C2,Clientes,3,0)</f>
        <v>Juan Cuesta Perez</v>
      </c>
    </row>
    <row r="8" spans="2:6" x14ac:dyDescent="0.2">
      <c r="C8" s="58" t="str">
        <f>VLOOKUP(Albarán!C2,Clientes,5,0)</f>
        <v>Calle Desengaño, 76</v>
      </c>
    </row>
    <row r="9" spans="2:6" x14ac:dyDescent="0.2">
      <c r="C9" s="43" t="str">
        <f>VLOOKUP(Albarán!C2,Clientes,6,0)</f>
        <v>Madrid</v>
      </c>
    </row>
    <row r="10" spans="2:6" ht="13.5" thickBot="1" x14ac:dyDescent="0.25">
      <c r="C10" s="44" t="str">
        <f>VLOOKUP(Albarán!C2,Clientes,4,0)</f>
        <v>14141414-T</v>
      </c>
    </row>
    <row r="12" spans="2:6" x14ac:dyDescent="0.2">
      <c r="B12" s="54" t="s">
        <v>70</v>
      </c>
      <c r="C12" s="54" t="s">
        <v>75</v>
      </c>
      <c r="D12" s="54" t="s">
        <v>2</v>
      </c>
      <c r="E12" s="54" t="s">
        <v>71</v>
      </c>
      <c r="F12" s="54" t="s">
        <v>76</v>
      </c>
    </row>
    <row r="13" spans="2:6" x14ac:dyDescent="0.2">
      <c r="B13" s="55">
        <f>IF(Albarán!B7&lt;&gt;"",Albarán!B7,"")</f>
        <v>105</v>
      </c>
      <c r="C13" s="55" t="str">
        <f>Albarán!C7</f>
        <v>DVD Rom 12x Encore+Dxr3 Con Creative</v>
      </c>
      <c r="D13" s="59">
        <f>Albarán!D7</f>
        <v>267.45038645078313</v>
      </c>
      <c r="E13" s="55">
        <f>IF(Albarán!E7&lt;&gt;"",Albarán!E7,"")</f>
        <v>1</v>
      </c>
      <c r="F13" s="62">
        <f>IF(D13&lt;&gt;"",D13*E13,0)</f>
        <v>267.45038645078313</v>
      </c>
    </row>
    <row r="14" spans="2:6" x14ac:dyDescent="0.2">
      <c r="B14" s="56">
        <f>IF(Albarán!B8&lt;&gt;"",Albarán!B8,"")</f>
        <v>108</v>
      </c>
      <c r="C14" s="56" t="str">
        <f>Albarán!C8</f>
        <v>Epson Perfection 610</v>
      </c>
      <c r="D14" s="60">
        <f>Albarán!D8</f>
        <v>109.56450662916352</v>
      </c>
      <c r="E14" s="56">
        <f>IF(Albarán!E8&lt;&gt;"",Albarán!E8,"")</f>
        <v>1</v>
      </c>
      <c r="F14" s="63">
        <f t="shared" ref="F14:F23" si="0">IF(D14&lt;&gt;"",D14*E14,0)</f>
        <v>109.56450662916352</v>
      </c>
    </row>
    <row r="15" spans="2:6" x14ac:dyDescent="0.2">
      <c r="B15" s="56">
        <f>IF(Albarán!B9&lt;&gt;"",Albarán!B9,"")</f>
        <v>110</v>
      </c>
      <c r="C15" s="56" t="str">
        <f>Albarán!C9</f>
        <v>Compacq Presario 1400 XI352 Celeron 
600 Mhz</v>
      </c>
      <c r="D15" s="60">
        <f>Albarán!D9</f>
        <v>2132.9919584580434</v>
      </c>
      <c r="E15" s="56">
        <f>IF(Albarán!E9&lt;&gt;"",Albarán!E9,"")</f>
        <v>2</v>
      </c>
      <c r="F15" s="63">
        <f t="shared" si="0"/>
        <v>4265.9839169160869</v>
      </c>
    </row>
    <row r="16" spans="2:6" x14ac:dyDescent="0.2">
      <c r="B16" s="56">
        <f>IF(Albarán!B10&lt;&gt;"",Albarán!B10,"")</f>
        <v>103</v>
      </c>
      <c r="C16" s="56" t="str">
        <f>Albarán!C10</f>
        <v>Reposamuñecas Boeder</v>
      </c>
      <c r="D16" s="60">
        <f>Albarán!D10</f>
        <v>3.1192528217518301</v>
      </c>
      <c r="E16" s="56">
        <f>IF(Albarán!E10&lt;&gt;"",Albarán!E10,"")</f>
        <v>1</v>
      </c>
      <c r="F16" s="63">
        <f t="shared" si="0"/>
        <v>3.1192528217518301</v>
      </c>
    </row>
    <row r="17" spans="2:6" x14ac:dyDescent="0.2">
      <c r="B17" s="56">
        <f>IF(Albarán!B11&lt;&gt;"",Albarán!B11,"")</f>
        <v>116</v>
      </c>
      <c r="C17" s="56" t="str">
        <f>Albarán!C11</f>
        <v>Ratón boeder 205</v>
      </c>
      <c r="D17" s="60">
        <f>Albarán!D11</f>
        <v>9.015181565756734</v>
      </c>
      <c r="E17" s="56">
        <f>IF(Albarán!E11&lt;&gt;"",Albarán!E11,"")</f>
        <v>2</v>
      </c>
      <c r="F17" s="63">
        <f t="shared" si="0"/>
        <v>18.030363131513468</v>
      </c>
    </row>
    <row r="18" spans="2:6" x14ac:dyDescent="0.2">
      <c r="B18" s="56">
        <f>IF(Albarán!B12&lt;&gt;"",Albarán!B12,"")</f>
        <v>101</v>
      </c>
      <c r="C18" s="56" t="str">
        <f>Albarán!C12</f>
        <v>Packard Bell SPIRIT II 9800</v>
      </c>
      <c r="D18" s="60">
        <f>Albarán!D12</f>
        <v>2797.6812953012873</v>
      </c>
      <c r="E18" s="56">
        <f>IF(Albarán!E12&lt;&gt;"",Albarán!E12,"")</f>
        <v>1</v>
      </c>
      <c r="F18" s="63">
        <f t="shared" si="0"/>
        <v>2797.6812953012873</v>
      </c>
    </row>
    <row r="19" spans="2:6" x14ac:dyDescent="0.2">
      <c r="B19" s="56">
        <f>IF(Albarán!B13&lt;&gt;"",Albarán!B13,"")</f>
        <v>111</v>
      </c>
      <c r="C19" s="56" t="str">
        <f>Albarán!C13</f>
        <v>iMac DV Special Edition a 500 Mhz.</v>
      </c>
      <c r="D19" s="60">
        <f>Albarán!D13</f>
        <v>1472.4796557402667</v>
      </c>
      <c r="E19" s="56">
        <f>IF(Albarán!E13&lt;&gt;"",Albarán!E13,"")</f>
        <v>1</v>
      </c>
      <c r="F19" s="63">
        <f t="shared" si="0"/>
        <v>1472.4796557402667</v>
      </c>
    </row>
    <row r="20" spans="2:6" x14ac:dyDescent="0.2">
      <c r="B20" s="56">
        <f>IF(Albarán!B14&lt;&gt;"",Albarán!B14,"")</f>
        <v>112</v>
      </c>
      <c r="C20" s="56" t="str">
        <f>Albarán!C14</f>
        <v>Toshiba Equium 3300 Intel Pentium III</v>
      </c>
      <c r="D20" s="60">
        <f>Albarán!D14</f>
        <v>1291.5750123207481</v>
      </c>
      <c r="E20" s="56">
        <f>IF(Albarán!E14&lt;&gt;"",Albarán!E14,"")</f>
        <v>1</v>
      </c>
      <c r="F20" s="63">
        <f t="shared" si="0"/>
        <v>1291.5750123207481</v>
      </c>
    </row>
    <row r="21" spans="2:6" x14ac:dyDescent="0.2">
      <c r="B21" s="56">
        <f>IF(Albarán!B15&lt;&gt;"",Albarán!B15,"")</f>
        <v>115</v>
      </c>
      <c r="C21" s="56" t="str">
        <f>Albarán!C15</f>
        <v>Lexmark Z 32 Inyección tinta</v>
      </c>
      <c r="D21" s="60">
        <f>Albarán!D15</f>
        <v>107.58116668469704</v>
      </c>
      <c r="E21" s="56">
        <f>IF(Albarán!E15&lt;&gt;"",Albarán!E15,"")</f>
        <v>1</v>
      </c>
      <c r="F21" s="63">
        <f t="shared" si="0"/>
        <v>107.58116668469704</v>
      </c>
    </row>
    <row r="22" spans="2:6" x14ac:dyDescent="0.2">
      <c r="B22" s="56">
        <f>IF(Albarán!B16&lt;&gt;"",Albarán!B16,"")</f>
        <v>117</v>
      </c>
      <c r="C22" s="56" t="str">
        <f>Albarán!C16</f>
        <v>Cable Impresora bidireccional</v>
      </c>
      <c r="D22" s="60">
        <f>Albarán!D16</f>
        <v>7.2121452526053877</v>
      </c>
      <c r="E22" s="56">
        <f>IF(Albarán!E16&lt;&gt;"",Albarán!E16,"")</f>
        <v>3</v>
      </c>
      <c r="F22" s="63">
        <f t="shared" si="0"/>
        <v>21.636435757816162</v>
      </c>
    </row>
    <row r="23" spans="2:6" x14ac:dyDescent="0.2">
      <c r="B23" s="57" t="str">
        <f>IF(Albarán!B17&lt;&gt;"",Albarán!B17,"")</f>
        <v/>
      </c>
      <c r="C23" s="57" t="str">
        <f>Albarán!C17</f>
        <v/>
      </c>
      <c r="D23" s="61" t="str">
        <f>Albarán!D17</f>
        <v/>
      </c>
      <c r="E23" s="57" t="str">
        <f>IF(Albarán!E17&lt;&gt;"",Albarán!E17,"")</f>
        <v/>
      </c>
      <c r="F23" s="64">
        <f t="shared" si="0"/>
        <v>0</v>
      </c>
    </row>
    <row r="25" spans="2:6" x14ac:dyDescent="0.2">
      <c r="E25" s="41" t="s">
        <v>77</v>
      </c>
      <c r="F25" s="65">
        <f>SUM(F13:F23)</f>
        <v>10355.101991754113</v>
      </c>
    </row>
    <row r="26" spans="2:6" x14ac:dyDescent="0.2">
      <c r="E26" s="41" t="s">
        <v>78</v>
      </c>
      <c r="F26" s="66">
        <f>IF(F25&gt;1000000,0.2,IF(AND(F25&lt;1000000,F25&gt;500000),0.15,IF(AND(F25&gt;250000,F25&lt;500000),0.1,0.05)))</f>
        <v>0.05</v>
      </c>
    </row>
    <row r="27" spans="2:6" x14ac:dyDescent="0.2">
      <c r="E27" s="41" t="s">
        <v>79</v>
      </c>
      <c r="F27" s="66">
        <v>0.21</v>
      </c>
    </row>
    <row r="28" spans="2:6" x14ac:dyDescent="0.2">
      <c r="E28" s="41" t="s">
        <v>80</v>
      </c>
      <c r="F28" s="65">
        <f>(F25-F25*F26)*(1+F27)</f>
        <v>11903.189739521351</v>
      </c>
    </row>
    <row r="31" spans="2:6" x14ac:dyDescent="0.2">
      <c r="B31" s="69" t="s">
        <v>82</v>
      </c>
      <c r="C31" s="70"/>
      <c r="D31" s="71">
        <f>COUNTIF(E13:E23,"&gt;0")</f>
        <v>10</v>
      </c>
    </row>
    <row r="32" spans="2:6" x14ac:dyDescent="0.2">
      <c r="B32" s="67">
        <f ca="1">Albarán!C3</f>
        <v>43787</v>
      </c>
      <c r="C32" s="68"/>
      <c r="D32" s="15"/>
    </row>
  </sheetData>
  <mergeCells count="5">
    <mergeCell ref="B2:E2"/>
    <mergeCell ref="B3:E3"/>
    <mergeCell ref="B4:E4"/>
    <mergeCell ref="B31:C31"/>
    <mergeCell ref="B32:C3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Productos</vt:lpstr>
      <vt:lpstr>Clientes</vt:lpstr>
      <vt:lpstr>Consulta</vt:lpstr>
      <vt:lpstr>Albarán</vt:lpstr>
      <vt:lpstr>Factura</vt:lpstr>
      <vt:lpstr>Clientes</vt:lpstr>
      <vt:lpstr>Productos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Oscar</cp:lastModifiedBy>
  <dcterms:created xsi:type="dcterms:W3CDTF">2006-06-16T07:27:25Z</dcterms:created>
  <dcterms:modified xsi:type="dcterms:W3CDTF">2019-11-18T13:04:03Z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57e726cb-27f1-4f9e-9a60-bfed774d4118</vt:lpwstr>
  </property>
</Properties>
</file>